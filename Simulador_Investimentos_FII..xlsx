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cogu\Downloads\Santander - Excel com Inteligência Artificial - 2º Semestre\"/>
    </mc:Choice>
  </mc:AlternateContent>
  <xr:revisionPtr revIDLastSave="0" documentId="13_ncr:1_{CF6CF8E6-4EA5-49F6-9C5B-C629739D276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APP" sheetId="1" r:id="rId1"/>
    <sheet name="Dashboard" sheetId="3" r:id="rId2"/>
    <sheet name="Metodologia" sheetId="4" r:id="rId3"/>
    <sheet name="Planilha2" sheetId="2" r:id="rId4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3" l="1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E20" i="3"/>
  <c r="E19" i="3"/>
  <c r="A19" i="3"/>
  <c r="E18" i="3"/>
  <c r="A18" i="3"/>
  <c r="E17" i="3"/>
  <c r="A17" i="3"/>
  <c r="E16" i="3"/>
  <c r="A16" i="3"/>
  <c r="E15" i="3"/>
  <c r="A15" i="3"/>
  <c r="B8" i="3"/>
  <c r="B7" i="3"/>
  <c r="D5" i="3"/>
  <c r="B5" i="3"/>
  <c r="D4" i="3"/>
  <c r="B4" i="3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H4" i="2"/>
  <c r="A4" i="2"/>
  <c r="A3" i="2"/>
  <c r="C41" i="1"/>
  <c r="F20" i="3" s="1"/>
  <c r="C40" i="1"/>
  <c r="F19" i="3" s="1"/>
  <c r="C39" i="1"/>
  <c r="F18" i="3" s="1"/>
  <c r="C38" i="1"/>
  <c r="F17" i="3" s="1"/>
  <c r="C37" i="1"/>
  <c r="F16" i="3" s="1"/>
  <c r="C36" i="1"/>
  <c r="F15" i="3" s="1"/>
  <c r="C33" i="1"/>
  <c r="D41" i="1" s="1"/>
  <c r="G20" i="3" s="1"/>
  <c r="D28" i="1"/>
  <c r="C19" i="3" s="1"/>
  <c r="C28" i="1"/>
  <c r="B19" i="3" s="1"/>
  <c r="C27" i="1"/>
  <c r="B18" i="3" s="1"/>
  <c r="D26" i="1"/>
  <c r="C17" i="3" s="1"/>
  <c r="C26" i="1"/>
  <c r="B17" i="3" s="1"/>
  <c r="C25" i="1"/>
  <c r="B16" i="3" s="1"/>
  <c r="D24" i="1"/>
  <c r="C15" i="3" s="1"/>
  <c r="C24" i="1"/>
  <c r="B15" i="3" s="1"/>
  <c r="D20" i="1"/>
  <c r="D21" i="1" s="1"/>
  <c r="D6" i="3" s="1"/>
  <c r="D14" i="1"/>
  <c r="D8" i="3" s="1"/>
  <c r="D7" i="3" l="1"/>
  <c r="B6" i="3"/>
  <c r="D37" i="1"/>
  <c r="G16" i="3" s="1"/>
  <c r="D39" i="1"/>
  <c r="G18" i="3" s="1"/>
  <c r="D25" i="1"/>
  <c r="C16" i="3" s="1"/>
  <c r="D27" i="1"/>
  <c r="C18" i="3" s="1"/>
  <c r="D36" i="1"/>
  <c r="D38" i="1"/>
  <c r="G17" i="3" s="1"/>
  <c r="D40" i="1"/>
  <c r="G19" i="3" s="1"/>
  <c r="D42" i="1" l="1"/>
  <c r="G15" i="3"/>
</calcChain>
</file>

<file path=xl/sharedStrings.xml><?xml version="1.0" encoding="utf-8"?>
<sst xmlns="http://schemas.openxmlformats.org/spreadsheetml/2006/main" count="152" uniqueCount="99">
  <si>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</si>
  <si>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</si>
  <si>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</si>
  <si>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</si>
  <si>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</si>
  <si>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</si>
  <si>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</si>
  <si>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</si>
  <si>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</si>
  <si>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</si>
  <si>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</si>
  <si>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</si>
  <si>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</si>
  <si>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</si>
  <si>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</si>
  <si>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</si>
  <si>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</si>
  <si>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</si>
  <si>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</si>
  <si>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</si>
  <si>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</si>
  <si>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</si>
  <si>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</si>
  <si>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</si>
  <si>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</si>
  <si>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</si>
  <si>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</si>
  <si>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</si>
  <si>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</si>
  <si>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</si>
  <si>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</si>
  <si>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</si>
  <si>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Moderado-TIJOLO</t>
  </si>
  <si>
    <t>Agressivo</t>
  </si>
  <si>
    <t>Simulador de Investimentos em Fundos Imobiliários</t>
  </si>
  <si>
    <t>Ferramenta educacional para estimar patrimônio, dividendos mensais e distribuição de aportes por perfil de investidor.</t>
  </si>
  <si>
    <t>Dashboard Executivo — Simulador de FIIs</t>
  </si>
  <si>
    <t>Resumo da Simulação</t>
  </si>
  <si>
    <t>Investimento mensal</t>
  </si>
  <si>
    <t>Prazo (anos)</t>
  </si>
  <si>
    <t>Taxa mensal</t>
  </si>
  <si>
    <t>Rendimento carteira</t>
  </si>
  <si>
    <t>Patrimônio estimado</t>
  </si>
  <si>
    <t>Dividendos mensais</t>
  </si>
  <si>
    <t>Total investido</t>
  </si>
  <si>
    <t>Ganho estimado</t>
  </si>
  <si>
    <t>Perfil do investidor</t>
  </si>
  <si>
    <t>Sugestão 30% salário</t>
  </si>
  <si>
    <t>Com base nos parâmetros informados, investindo R$ 200,00 por mês durante 5 anos, com taxa mensal de 1,08%, o patrimônio estimado será de aproximadamente R$ 16.755,38 e os dividendos mensais estimados serão de R$ 100,53.</t>
  </si>
  <si>
    <t>Ano</t>
  </si>
  <si>
    <t>Patrimônio acumulado</t>
  </si>
  <si>
    <t>Tipo de FII</t>
  </si>
  <si>
    <t>% sugerido</t>
  </si>
  <si>
    <t>Valor mensal</t>
  </si>
  <si>
    <t>Patrimônio projetado</t>
  </si>
  <si>
    <t>Aviso: esta planilha possui finalidade exclusivamente educacional e não representa recomendação de investimento. Os resultados são projeções baseadas nas premissas informadas pelo usuário.</t>
  </si>
  <si>
    <t>Metodologia e Documentação do Simulador</t>
  </si>
  <si>
    <t>Objetivo</t>
  </si>
  <si>
    <t>Criar uma ferramenta em Excel para simular investimentos mensais em Fundos Imobiliários, estimando patrimônio acumulado, dividendos mensais e cenários de longo prazo.</t>
  </si>
  <si>
    <t>Variável</t>
  </si>
  <si>
    <t>Local</t>
  </si>
  <si>
    <t>Tipo</t>
  </si>
  <si>
    <t>Descrição</t>
  </si>
  <si>
    <t>APP!D12</t>
  </si>
  <si>
    <t>Entrada</t>
  </si>
  <si>
    <t>Base para sugestão de investimento de 30%.</t>
  </si>
  <si>
    <t>Rendimento da carteira</t>
  </si>
  <si>
    <t>APP!D13</t>
  </si>
  <si>
    <t>Premissa</t>
  </si>
  <si>
    <t>Percentual usado para estimar dividendos mensais.</t>
  </si>
  <si>
    <t>APP!D17</t>
  </si>
  <si>
    <t>Valor aportado mensalmente pelo usuário.</t>
  </si>
  <si>
    <t>Prazo em anos</t>
  </si>
  <si>
    <t>APP!D18</t>
  </si>
  <si>
    <t>Quantidade de anos da simulação.</t>
  </si>
  <si>
    <t>Taxa de rendimento mensal</t>
  </si>
  <si>
    <t>APP!D19</t>
  </si>
  <si>
    <t>Taxa usada para projetar patrimônio acumulado.</t>
  </si>
  <si>
    <t>APP!C32</t>
  </si>
  <si>
    <t>Perfil usado para sugerir a composição dos FIIs.</t>
  </si>
  <si>
    <t>APP!D20</t>
  </si>
  <si>
    <t>Resultado</t>
  </si>
  <si>
    <t>Projeção calculada com valor futuro.</t>
  </si>
  <si>
    <t>APP!D21</t>
  </si>
  <si>
    <t>Estimativa calculada sobre o patrimônio acumulado.</t>
  </si>
  <si>
    <t>Fórmulas principais</t>
  </si>
  <si>
    <t>=FV(taxa_mensal,qtd_anos*12,aporte*-1)</t>
  </si>
  <si>
    <t>=patrimonio*rendimento_carteira</t>
  </si>
  <si>
    <t>Cenários</t>
  </si>
  <si>
    <t>=FV($D$19,anos*12,$D$17*-1)</t>
  </si>
  <si>
    <t>Distribuição por perfil</t>
  </si>
  <si>
    <t>=VLOOKUP(perfil&amp;tipo, tabela de percentuais, 4, FALSE)</t>
  </si>
  <si>
    <t>=aporte mensal*prazo*12</t>
  </si>
  <si>
    <t>Premissas e limitações</t>
  </si>
  <si>
    <t>1. O modelo considera aportes mensais constantes e taxa de rendimento mensal fixa.</t>
  </si>
  <si>
    <t>2. Os dividendos são estimados com base no patrimônio projetado e no rendimento da carteira.</t>
  </si>
  <si>
    <t>3. Custos, impostos, inflação, vacância e variações reais de mercado não estão incluídos.</t>
  </si>
  <si>
    <t>4. A ferramenta é educacional e não representa recomendação de investimento.</t>
  </si>
  <si>
    <t>5. Fonte conceitual: desafio DIO — Simulador de Investimentos em Fundos Imobiliários com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</si>
</sst>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\R\$\ #,##0.00;[Red]\(\R\$\ #,##0.00\);\-"/>
  </numFmts>
  <fonts count="16" x14ac:knownFonts="1">
    <font>
      <sz val="11"/>
      <color theme="1"/>
      <name val="Aptos Narrow"/>
    </font>
    <font>
      <sz val="11"/>
      <color theme="1"/>
      <name val="Aptos Narrow"/>
    </font>
    <font>
      <sz val="11"/>
      <color rgb="FF9C5700"/>
      <name val="Aptos Narrow"/>
    </font>
    <font>
      <b/>
      <sz val="11"/>
      <color theme="1"/>
      <name val="Aptos Narrow"/>
    </font>
    <font>
      <sz val="11"/>
      <color theme="0"/>
      <name val="Aptos Narrow"/>
    </font>
    <font>
      <sz val="12"/>
      <color theme="1"/>
      <name val="Segoe UI"/>
    </font>
    <font>
      <b/>
      <sz val="12"/>
      <color theme="1"/>
      <name val="Segoe UI"/>
    </font>
    <font>
      <b/>
      <sz val="11"/>
      <color rgb="FFFFFFFF"/>
      <name val="Segoe UI Semibold"/>
    </font>
    <font>
      <b/>
      <sz val="11"/>
      <color rgb="FFFFFFFF"/>
      <name val="Aptos Narrow"/>
    </font>
    <font>
      <b/>
      <sz val="11"/>
      <color rgb="FF0F172A"/>
      <name val="Aptos Narrow"/>
    </font>
    <font>
      <b/>
      <sz val="11"/>
      <color rgb="FF0000FF"/>
      <name val="Segoe UI"/>
    </font>
    <font>
      <b/>
      <sz val="11"/>
      <color rgb="FF0F172A"/>
      <name val="Segoe UI"/>
    </font>
    <font>
      <b/>
      <sz val="16"/>
      <color rgb="FFFFFFFF"/>
      <name val="Aptos Narrow"/>
    </font>
    <font>
      <i/>
      <sz val="11"/>
      <color rgb="FF334155"/>
      <name val="Aptos Narrow"/>
    </font>
    <font>
      <sz val="11"/>
      <color rgb="FF064E3B"/>
      <name val="Aptos Narrow"/>
    </font>
    <font>
      <sz val="9"/>
      <color theme="1"/>
      <name val="Aptos Narrow"/>
    </font>
  </fonts>
  <fills count="1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2" tint="-0.249977111117893"/>
        <bgColor indexed="65"/>
      </patternFill>
    </fill>
    <fill>
      <patternFill patternType="solid">
        <fgColor rgb="FFFFFF00"/>
      </patternFill>
    </fill>
    <fill>
      <patternFill patternType="solid">
        <fgColor theme="1"/>
      </patternFill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FEF08A"/>
      </patternFill>
    </fill>
    <fill>
      <patternFill patternType="solid">
        <fgColor rgb="FFF8FAFC"/>
      </patternFill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ECFDF5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3" borderId="5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2" fillId="2" borderId="0" xfId="3"/>
    <xf numFmtId="0" fontId="3" fillId="4" borderId="0" xfId="0" applyFont="1" applyFill="1"/>
    <xf numFmtId="0" fontId="3" fillId="5" borderId="0" xfId="0" applyFont="1" applyFill="1"/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9" fontId="0" fillId="6" borderId="0" xfId="0" applyNumberFormat="1" applyFill="1" applyAlignment="1">
      <alignment horizontal="center"/>
    </xf>
    <xf numFmtId="9" fontId="2" fillId="2" borderId="0" xfId="2" applyFont="1" applyFill="1"/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7" fillId="8" borderId="1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9" fillId="9" borderId="0" xfId="0" applyFont="1" applyFill="1" applyAlignment="1">
      <alignment horizontal="center" vertical="center"/>
    </xf>
    <xf numFmtId="10" fontId="10" fillId="10" borderId="19" xfId="0" applyNumberFormat="1" applyFont="1" applyFill="1" applyBorder="1" applyAlignment="1">
      <alignment horizontal="right"/>
    </xf>
    <xf numFmtId="0" fontId="9" fillId="11" borderId="0" xfId="0" applyFont="1" applyFill="1" applyAlignment="1">
      <alignment horizontal="right"/>
    </xf>
    <xf numFmtId="164" fontId="10" fillId="10" borderId="16" xfId="0" applyNumberFormat="1" applyFont="1" applyFill="1" applyBorder="1" applyAlignment="1">
      <alignment horizontal="right"/>
    </xf>
    <xf numFmtId="164" fontId="10" fillId="10" borderId="22" xfId="0" applyNumberFormat="1" applyFont="1" applyFill="1" applyBorder="1" applyAlignment="1">
      <alignment horizontal="right"/>
    </xf>
    <xf numFmtId="1" fontId="10" fillId="10" borderId="19" xfId="0" applyNumberFormat="1" applyFont="1" applyFill="1" applyBorder="1" applyAlignment="1">
      <alignment horizontal="right"/>
    </xf>
    <xf numFmtId="164" fontId="11" fillId="11" borderId="19" xfId="0" applyNumberFormat="1" applyFont="1" applyFill="1" applyBorder="1" applyAlignment="1">
      <alignment horizontal="right"/>
    </xf>
    <xf numFmtId="164" fontId="11" fillId="11" borderId="22" xfId="0" applyNumberFormat="1" applyFont="1" applyFill="1" applyBorder="1" applyAlignment="1">
      <alignment horizontal="right"/>
    </xf>
    <xf numFmtId="164" fontId="11" fillId="11" borderId="6" xfId="0" applyNumberFormat="1" applyFont="1" applyFill="1" applyBorder="1" applyAlignment="1">
      <alignment horizontal="right"/>
    </xf>
    <xf numFmtId="164" fontId="11" fillId="11" borderId="7" xfId="0" applyNumberFormat="1" applyFont="1" applyFill="1" applyBorder="1" applyAlignment="1">
      <alignment horizontal="right"/>
    </xf>
    <xf numFmtId="164" fontId="11" fillId="11" borderId="9" xfId="0" applyNumberFormat="1" applyFont="1" applyFill="1" applyBorder="1" applyAlignment="1">
      <alignment horizontal="right"/>
    </xf>
    <xf numFmtId="164" fontId="11" fillId="11" borderId="10" xfId="0" applyNumberFormat="1" applyFont="1" applyFill="1" applyBorder="1" applyAlignment="1">
      <alignment horizontal="right"/>
    </xf>
    <xf numFmtId="164" fontId="11" fillId="11" borderId="12" xfId="0" applyNumberFormat="1" applyFont="1" applyFill="1" applyBorder="1" applyAlignment="1">
      <alignment horizontal="right"/>
    </xf>
    <xf numFmtId="164" fontId="11" fillId="11" borderId="13" xfId="0" applyNumberFormat="1" applyFont="1" applyFill="1" applyBorder="1" applyAlignment="1">
      <alignment horizontal="right"/>
    </xf>
    <xf numFmtId="164" fontId="9" fillId="11" borderId="0" xfId="0" applyNumberFormat="1" applyFont="1" applyFill="1" applyAlignment="1">
      <alignment horizontal="right"/>
    </xf>
    <xf numFmtId="10" fontId="9" fillId="11" borderId="0" xfId="0" applyNumberFormat="1" applyFont="1" applyFill="1" applyAlignment="1">
      <alignment horizontal="right"/>
    </xf>
    <xf numFmtId="0" fontId="3" fillId="14" borderId="0" xfId="0" applyFont="1" applyFill="1"/>
    <xf numFmtId="1" fontId="9" fillId="11" borderId="0" xfId="0" applyNumberFormat="1" applyFont="1" applyFill="1" applyAlignment="1">
      <alignment horizontal="right"/>
    </xf>
    <xf numFmtId="10" fontId="3" fillId="14" borderId="0" xfId="0" applyNumberFormat="1" applyFont="1" applyFill="1"/>
    <xf numFmtId="164" fontId="3" fillId="14" borderId="0" xfId="0" applyNumberFormat="1" applyFont="1" applyFill="1"/>
    <xf numFmtId="164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0" fontId="15" fillId="0" borderId="0" xfId="0" applyFont="1"/>
    <xf numFmtId="164" fontId="15" fillId="0" borderId="0" xfId="0" applyNumberFormat="1" applyFont="1"/>
    <xf numFmtId="0" fontId="7" fillId="8" borderId="1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left"/>
    </xf>
    <xf numFmtId="0" fontId="6" fillId="3" borderId="18" xfId="0" applyFont="1" applyFill="1" applyBorder="1" applyAlignment="1">
      <alignment horizontal="left"/>
    </xf>
    <xf numFmtId="0" fontId="5" fillId="4" borderId="14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left"/>
    </xf>
    <xf numFmtId="0" fontId="5" fillId="4" borderId="17" xfId="0" applyFont="1" applyFill="1" applyBorder="1" applyAlignment="1">
      <alignment horizontal="left"/>
    </xf>
    <xf numFmtId="0" fontId="5" fillId="4" borderId="18" xfId="0" applyFont="1" applyFill="1" applyBorder="1" applyAlignment="1">
      <alignment horizontal="left"/>
    </xf>
    <xf numFmtId="0" fontId="6" fillId="3" borderId="20" xfId="0" applyFont="1" applyFill="1" applyBorder="1" applyAlignment="1">
      <alignment horizontal="left"/>
    </xf>
    <xf numFmtId="0" fontId="6" fillId="3" borderId="21" xfId="0" applyFont="1" applyFill="1" applyBorder="1" applyAlignment="1">
      <alignment horizontal="left"/>
    </xf>
    <xf numFmtId="0" fontId="12" fillId="12" borderId="0" xfId="0" applyFont="1" applyFill="1" applyAlignment="1">
      <alignment horizontal="center" vertical="center"/>
    </xf>
    <xf numFmtId="0" fontId="13" fillId="13" borderId="0" xfId="0" applyFont="1" applyFill="1" applyAlignment="1">
      <alignment vertical="top" wrapText="1"/>
    </xf>
    <xf numFmtId="0" fontId="5" fillId="4" borderId="20" xfId="0" applyFont="1" applyFill="1" applyBorder="1" applyAlignment="1">
      <alignment horizontal="left"/>
    </xf>
    <xf numFmtId="0" fontId="5" fillId="4" borderId="21" xfId="0" applyFont="1" applyFill="1" applyBorder="1" applyAlignment="1">
      <alignment horizontal="left"/>
    </xf>
    <xf numFmtId="0" fontId="8" fillId="8" borderId="0" xfId="0" applyFont="1" applyFill="1" applyAlignment="1">
      <alignment horizontal="left" vertical="center"/>
    </xf>
    <xf numFmtId="0" fontId="14" fillId="15" borderId="0" xfId="0" applyFont="1" applyFill="1" applyAlignment="1">
      <alignment vertical="center" wrapText="1"/>
    </xf>
  </cellXfs>
  <cellStyles count="4">
    <cellStyle name="Moeda" xfId="1" xr:uid="{00000000-0005-0000-0000-000000000000}"/>
    <cellStyle name="Neutro" xfId="3" xr:uid="{00000000-0005-0000-0000-000001000000}"/>
    <cellStyle name="Normal" xfId="0" builtinId="0"/>
    <cellStyle name="Porcentagem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1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1">
                      <a:tint val="81000"/>
                      <a:lumMod val="105000"/>
                      <a:satMod val="109000"/>
                    </a:schemeClr>
                  </a:gs>
                </a:gsLst>
                <a:lin ang="5400000"/>
              </a:gradFill>
              <a:ln w="9525" cmpd="sng">
                <a:solidFill>
                  <a:schemeClr val="accent1">
                    <a:shade val="9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F1A-47B4-967D-7E76F60417A7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2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2">
                      <a:tint val="81000"/>
                      <a:lumMod val="105000"/>
                      <a:satMod val="109000"/>
                    </a:schemeClr>
                  </a:gs>
                </a:gsLst>
                <a:lin ang="5400000"/>
              </a:gradFill>
              <a:ln w="9525" cmpd="sng">
                <a:solidFill>
                  <a:schemeClr val="accent2">
                    <a:shade val="9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F1A-47B4-967D-7E76F60417A7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3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3">
                      <a:tint val="81000"/>
                      <a:lumMod val="105000"/>
                      <a:satMod val="109000"/>
                    </a:schemeClr>
                  </a:gs>
                </a:gsLst>
                <a:lin ang="5400000"/>
              </a:gradFill>
              <a:ln w="9525" cmpd="sng">
                <a:solidFill>
                  <a:schemeClr val="accent3">
                    <a:shade val="9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DF1A-47B4-967D-7E76F60417A7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4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4">
                      <a:tint val="81000"/>
                      <a:lumMod val="105000"/>
                      <a:satMod val="109000"/>
                    </a:schemeClr>
                  </a:gs>
                </a:gsLst>
                <a:lin ang="5400000"/>
              </a:gradFill>
              <a:ln w="9525" cmpd="sng">
                <a:solidFill>
                  <a:schemeClr val="accent4">
                    <a:shade val="9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DF1A-47B4-967D-7E76F60417A7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5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5">
                      <a:tint val="81000"/>
                      <a:lumMod val="105000"/>
                      <a:satMod val="109000"/>
                    </a:schemeClr>
                  </a:gs>
                </a:gsLst>
                <a:lin ang="5400000"/>
              </a:gradFill>
              <a:ln w="9525" cmpd="sng">
                <a:solidFill>
                  <a:schemeClr val="accent5">
                    <a:shade val="9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DF1A-47B4-967D-7E76F60417A7}"/>
              </c:ext>
            </c:extLst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tint val="67000"/>
                      <a:lumMod val="110000"/>
                      <a:satMod val="105000"/>
                    </a:schemeClr>
                  </a:gs>
                  <a:gs pos="50000">
                    <a:schemeClr val="accent6">
                      <a:tint val="73000"/>
                      <a:lumMod val="105000"/>
                      <a:satMod val="103000"/>
                    </a:schemeClr>
                  </a:gs>
                  <a:gs pos="100000">
                    <a:schemeClr val="accent6">
                      <a:tint val="81000"/>
                      <a:lumMod val="105000"/>
                      <a:satMod val="109000"/>
                    </a:schemeClr>
                  </a:gs>
                </a:gsLst>
                <a:lin ang="5400000"/>
              </a:gradFill>
              <a:ln w="9525" cmpd="sng">
                <a:solidFill>
                  <a:schemeClr val="accent6">
                    <a:shade val="9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B-DF1A-47B4-967D-7E76F60417A7}"/>
              </c:ext>
            </c:extLst>
          </c:dPt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0.00%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F1A-47B4-967D-7E76F6041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lt"/>
              <a:cs typeface="+mn-lt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chemeClr val="bg1"/>
    </a:solidFill>
    <a:ln w="9525" cmpd="sng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Evolução do patrimônio projetado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Total investido</c:v>
          </c:tx>
          <c:spPr>
            <a:ln>
              <a:solidFill>
                <a:schemeClr val="accent1">
                  <a:alpha val="89000"/>
                </a:schemeClr>
              </a:solidFill>
            </a:ln>
          </c:spPr>
          <c:cat>
            <c:numRef>
              <c:f>Dashboard!$A$24:$A$53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Dashboard!$B$24:$B$53</c:f>
              <c:numCache>
                <c:formatCode>\R\$\ #,##0.00;[Red]\(\R\$\ #,##0.00\);\-</c:formatCode>
                <c:ptCount val="30"/>
                <c:pt idx="0">
                  <c:v>2400</c:v>
                </c:pt>
                <c:pt idx="1">
                  <c:v>4800</c:v>
                </c:pt>
                <c:pt idx="2">
                  <c:v>7200</c:v>
                </c:pt>
                <c:pt idx="3">
                  <c:v>9600</c:v>
                </c:pt>
                <c:pt idx="4">
                  <c:v>12000</c:v>
                </c:pt>
                <c:pt idx="5">
                  <c:v>14400</c:v>
                </c:pt>
                <c:pt idx="6">
                  <c:v>16800</c:v>
                </c:pt>
                <c:pt idx="7">
                  <c:v>19200</c:v>
                </c:pt>
                <c:pt idx="8">
                  <c:v>21600</c:v>
                </c:pt>
                <c:pt idx="9">
                  <c:v>24000</c:v>
                </c:pt>
                <c:pt idx="10">
                  <c:v>26400</c:v>
                </c:pt>
                <c:pt idx="11">
                  <c:v>28800</c:v>
                </c:pt>
                <c:pt idx="12">
                  <c:v>31200</c:v>
                </c:pt>
                <c:pt idx="13">
                  <c:v>33600</c:v>
                </c:pt>
                <c:pt idx="14">
                  <c:v>36000</c:v>
                </c:pt>
                <c:pt idx="15">
                  <c:v>38400</c:v>
                </c:pt>
                <c:pt idx="16">
                  <c:v>40800</c:v>
                </c:pt>
                <c:pt idx="17">
                  <c:v>43200</c:v>
                </c:pt>
                <c:pt idx="18">
                  <c:v>45600</c:v>
                </c:pt>
                <c:pt idx="19">
                  <c:v>48000</c:v>
                </c:pt>
                <c:pt idx="20">
                  <c:v>50400</c:v>
                </c:pt>
                <c:pt idx="21">
                  <c:v>52800</c:v>
                </c:pt>
                <c:pt idx="22">
                  <c:v>55200</c:v>
                </c:pt>
                <c:pt idx="23">
                  <c:v>57600</c:v>
                </c:pt>
                <c:pt idx="24">
                  <c:v>60000</c:v>
                </c:pt>
                <c:pt idx="25">
                  <c:v>62400</c:v>
                </c:pt>
                <c:pt idx="26">
                  <c:v>64800</c:v>
                </c:pt>
                <c:pt idx="27">
                  <c:v>67200</c:v>
                </c:pt>
                <c:pt idx="28">
                  <c:v>69600</c:v>
                </c:pt>
                <c:pt idx="29">
                  <c:v>72000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F4-4ED3-AFCE-9F6BDA7042C1}"/>
            </c:ext>
          </c:extLst>
        </c:ser>
        <c:ser>
          <c:idx val="1"/>
          <c:order val="1"/>
          <c:tx>
            <c:v>Patrimônio projetado</c:v>
          </c:tx>
          <c:cat>
            <c:numRef>
              <c:f>Dashboard!$A$24:$A$53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Dashboard!$C$24:$C$53</c:f>
              <c:numCache>
                <c:formatCode>\R\$\ #,##0.00;[Red]\(\R\$\ #,##0.00\);\-</c:formatCode>
                <c:ptCount val="30"/>
                <c:pt idx="0">
                  <c:v>2547.6772001113118</c:v>
                </c:pt>
                <c:pt idx="1">
                  <c:v>5445.5254595290435</c:v>
                </c:pt>
                <c:pt idx="2">
                  <c:v>8741.6748046044213</c:v>
                </c:pt>
                <c:pt idx="3">
                  <c:v>12490.870598322032</c:v>
                </c:pt>
                <c:pt idx="4">
                  <c:v>16755.382799697527</c:v>
                </c:pt>
                <c:pt idx="5">
                  <c:v>21606.040198319984</c:v>
                </c:pt>
                <c:pt idx="6">
                  <c:v>27123.40680152061</c:v>
                </c:pt>
                <c:pt idx="7">
                  <c:v>33399.11991264626</c:v>
                </c:pt>
                <c:pt idx="8">
                  <c:v>40537.412124424867</c:v>
                </c:pt>
                <c:pt idx="9">
                  <c:v>48656.842506034438</c:v>
                </c:pt>
                <c:pt idx="10">
                  <c:v>57892.265736961301</c:v>
                </c:pt>
                <c:pt idx="11">
                  <c:v>68397.071892764026</c:v>
                </c:pt>
                <c:pt idx="12">
                  <c:v>80345.734083085277</c:v>
                </c:pt>
                <c:pt idx="13">
                  <c:v>93936.706255336976</c:v>
                </c:pt>
                <c:pt idx="14">
                  <c:v>109395.71929334418</c:v>
                </c:pt>
                <c:pt idx="15">
                  <c:v>126979.53015546902</c:v>
                </c:pt>
                <c:pt idx="16">
                  <c:v>146980.18632121594</c:v>
                </c:pt>
                <c:pt idx="17">
                  <c:v>169729.87637401774</c:v>
                </c:pt>
                <c:pt idx="18">
                  <c:v>195606.44728297126</c:v>
                </c:pt>
                <c:pt idx="19">
                  <c:v>225039.68001941612</c:v>
                </c:pt>
                <c:pt idx="20">
                  <c:v>258518.42773934591</c:v>
                </c:pt>
                <c:pt idx="21">
                  <c:v>296598.73508889764</c:v>
                </c:pt>
                <c:pt idx="22">
                  <c:v>339913.07348552387</c:v>
                </c:pt>
                <c:pt idx="23">
                  <c:v>389180.84576256503</c:v>
                </c:pt>
                <c:pt idx="24">
                  <c:v>445220.33464764646</c:v>
                </c:pt>
                <c:pt idx="25">
                  <c:v>508962.2935257951</c:v>
                </c:pt>
                <c:pt idx="26">
                  <c:v>581465.40521468932</c:v>
                </c:pt>
                <c:pt idx="27">
                  <c:v>663933.86550504796</c:v>
                </c:pt>
                <c:pt idx="28">
                  <c:v>757737.3835091478</c:v>
                </c:pt>
                <c:pt idx="29">
                  <c:v>864433.93100094295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F4-4ED3-AFCE-9F6BDA704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##0.00;[Red]\(\R\$\ #,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Cenários de patrimônio e dividendos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Patrimônio</c:v>
          </c:tx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Dashboard!$A$15:$A$19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Dashboard!$B$15:$B$19</c:f>
              <c:numCache>
                <c:formatCode>\R\$\ #,##0.00;[Red]\(\R\$\ #,##0.00\);\-</c:formatCode>
                <c:ptCount val="5"/>
                <c:pt idx="0">
                  <c:v>5445.5254595290435</c:v>
                </c:pt>
                <c:pt idx="1">
                  <c:v>16755.382799697527</c:v>
                </c:pt>
                <c:pt idx="2">
                  <c:v>48656.842506034438</c:v>
                </c:pt>
                <c:pt idx="3">
                  <c:v>225039.68001941612</c:v>
                </c:pt>
                <c:pt idx="4">
                  <c:v>864433.93100094295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5-49FA-99A7-0D46AFDA7226}"/>
            </c:ext>
          </c:extLst>
        </c:ser>
        <c:ser>
          <c:idx val="1"/>
          <c:order val="1"/>
          <c:tx>
            <c:v>Dividendos mensais</c:v>
          </c:tx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Dashboard!$A$15:$A$19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Dashboard!$C$15:$C$19</c:f>
              <c:numCache>
                <c:formatCode>\R\$\ #,##0.00;[Red]\(\R\$\ #,##0.00\);\-</c:formatCode>
                <c:ptCount val="5"/>
                <c:pt idx="0">
                  <c:v>32.673152757174265</c:v>
                </c:pt>
                <c:pt idx="1">
                  <c:v>100.53229679818516</c:v>
                </c:pt>
                <c:pt idx="2">
                  <c:v>291.94105503620665</c:v>
                </c:pt>
                <c:pt idx="3">
                  <c:v>1350.2380801164968</c:v>
                </c:pt>
                <c:pt idx="4">
                  <c:v>5186.6035860056581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95-49FA-99A7-0D46AFDA72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##0.00;[Red]\(\R\$\ #,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Distribuição do aporte por tipo de FII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Dashboard!$E$15:$E$20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Dashboard!$F$15:$F$20</c:f>
              <c:numCache>
                <c:formatCode>0.00%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9-49F4-8163-24EABF8A7F80}"/>
            </c:ext>
          </c:extLst>
        </c:ser>
        <c:ser>
          <c:idx val="1"/>
          <c:order val="1"/>
          <c:cat>
            <c:strRef>
              <c:f>Dashboard!$E$15:$E$20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Dashboard!$G$15:$G$20</c:f>
              <c:numCache>
                <c:formatCode>\R\$\ #,##0.00;[Red]\(\R\$\ #,##0.00\);\-</c:formatCode>
                <c:ptCount val="6"/>
                <c:pt idx="0">
                  <c:v>64</c:v>
                </c:pt>
                <c:pt idx="1">
                  <c:v>70</c:v>
                </c:pt>
                <c:pt idx="2">
                  <c:v>16</c:v>
                </c:pt>
                <c:pt idx="3">
                  <c:v>10</c:v>
                </c:pt>
                <c:pt idx="4">
                  <c:v>20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D9-49F4-8163-24EABF8A7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801047</xdr:colOff>
      <xdr:row>3</xdr:row>
      <xdr:rowOff>154283</xdr:rowOff>
    </xdr:from>
    <xdr:to>
      <xdr:col>3</xdr:col>
      <xdr:colOff>419101</xdr:colOff>
      <xdr:row>9</xdr:row>
      <xdr:rowOff>93981</xdr:rowOff>
    </xdr:to>
    <xdr:pic>
      <xdr:nvPicPr>
        <xdr:cNvPr id="3" name="/xl/media/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1067" y="870563"/>
          <a:ext cx="3184214" cy="1036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598714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264227</xdr:colOff>
      <xdr:row>21</xdr:row>
      <xdr:rowOff>0</xdr:rowOff>
    </xdr:from>
    <xdr:to>
      <xdr:col>8</xdr:col>
      <xdr:colOff>391886</xdr:colOff>
      <xdr:row>52</xdr:row>
      <xdr:rowOff>185056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20</xdr:row>
      <xdr:rowOff>177800</xdr:rowOff>
    </xdr:from>
    <xdr:to>
      <xdr:col>17</xdr:col>
      <xdr:colOff>0</xdr:colOff>
      <xdr:row>36</xdr:row>
      <xdr:rowOff>177800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enarios" displayName="TabelaCenarios" ref="A14:C19">
  <tableColumns count="3">
    <tableColumn id="1" xr3:uid="{00000000-0010-0000-0000-000001000000}" name="Ano"/>
    <tableColumn id="2" xr3:uid="{00000000-0010-0000-0000-000002000000}" name="Patrimônio acumulado"/>
    <tableColumn id="3" xr3:uid="{00000000-0010-0000-0000-000003000000}" name="Dividendos mensa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Distribuicao" displayName="TabelaDistribuicao" ref="E14:G20">
  <tableColumns count="3">
    <tableColumn id="1" xr3:uid="{00000000-0010-0000-0100-000001000000}" name="Tipo de FII"/>
    <tableColumn id="2" xr3:uid="{00000000-0010-0000-0100-000002000000}" name="% sugerido"/>
    <tableColumn id="3" xr3:uid="{00000000-0010-0000-0100-000003000000}" name="Valor mens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Evolucao" displayName="TabelaEvolucao" ref="A23:C53">
  <tableColumns count="3">
    <tableColumn id="1" xr3:uid="{00000000-0010-0000-0200-000001000000}" name="Ano"/>
    <tableColumn id="2" xr3:uid="{00000000-0010-0000-0200-000002000000}" name="Total investido"/>
    <tableColumn id="3" xr3:uid="{00000000-0010-0000-0200-000003000000}" name="Patrimônio proje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494FC5F-ABBC-4317-8348-CB0E319A5409}">
  <we:reference id="WA200010215" version="2.0.0.0" store="Omex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showGridLines="0" zoomScale="55" zoomScaleNormal="55" workbookViewId="0">
      <selection activeCell="H7" sqref="H7"/>
    </sheetView>
  </sheetViews>
  <sheetFormatPr defaultColWidth="0" defaultRowHeight="14.4" x14ac:dyDescent="0.3"/>
  <cols>
    <col min="1" max="1" width="2.33203125" customWidth="1"/>
    <col min="2" max="2" width="34" customWidth="1"/>
    <col min="3" max="4" width="18" customWidth="1"/>
    <col min="5" max="8" width="3.5546875" customWidth="1"/>
    <col min="9" max="16384" width="8.77734375" hidden="1"/>
  </cols>
  <sheetData>
    <row r="1" spans="2:4" ht="28.05" customHeight="1" x14ac:dyDescent="0.3">
      <c r="B1" s="60" t="s">
        <v>34</v>
      </c>
      <c r="C1" s="60"/>
      <c r="D1" s="60"/>
    </row>
    <row r="2" spans="2:4" x14ac:dyDescent="0.3">
      <c r="B2" s="61" t="s">
        <v>35</v>
      </c>
      <c r="C2" s="61"/>
      <c r="D2" s="61"/>
    </row>
    <row r="3" spans="2:4" x14ac:dyDescent="0.3">
      <c r="B3" s="61"/>
      <c r="C3" s="61"/>
      <c r="D3" s="61"/>
    </row>
    <row r="11" spans="2:4" ht="16.8" x14ac:dyDescent="0.3">
      <c r="B11" s="20" t="s">
        <v>0</v>
      </c>
      <c r="C11" s="22"/>
      <c r="D11" s="21"/>
    </row>
    <row r="12" spans="2:4" ht="19.2" x14ac:dyDescent="0.45">
      <c r="B12" s="54" t="s">
        <v>1</v>
      </c>
      <c r="C12" s="55"/>
      <c r="D12" s="27">
        <v>2000</v>
      </c>
    </row>
    <row r="13" spans="2:4" ht="19.2" x14ac:dyDescent="0.45">
      <c r="B13" s="56" t="s">
        <v>2</v>
      </c>
      <c r="C13" s="57"/>
      <c r="D13" s="25">
        <v>6.0000000000000001E-3</v>
      </c>
    </row>
    <row r="14" spans="2:4" ht="19.2" x14ac:dyDescent="0.45">
      <c r="B14" s="62" t="s">
        <v>3</v>
      </c>
      <c r="C14" s="63"/>
      <c r="D14" s="28">
        <f>D12*30%</f>
        <v>600</v>
      </c>
    </row>
    <row r="16" spans="2:4" ht="28.5" customHeight="1" x14ac:dyDescent="0.3">
      <c r="B16" s="49" t="s">
        <v>4</v>
      </c>
      <c r="C16" s="50"/>
      <c r="D16" s="51"/>
    </row>
    <row r="17" spans="1:6" ht="19.2" x14ac:dyDescent="0.45">
      <c r="B17" s="54" t="s">
        <v>5</v>
      </c>
      <c r="C17" s="55"/>
      <c r="D17" s="27">
        <v>200</v>
      </c>
    </row>
    <row r="18" spans="1:6" ht="19.2" x14ac:dyDescent="0.45">
      <c r="B18" s="56" t="s">
        <v>6</v>
      </c>
      <c r="C18" s="57"/>
      <c r="D18" s="29">
        <v>5</v>
      </c>
    </row>
    <row r="19" spans="1:6" ht="19.2" x14ac:dyDescent="0.45">
      <c r="B19" s="56" t="s">
        <v>7</v>
      </c>
      <c r="C19" s="57"/>
      <c r="D19" s="25">
        <v>1.0789999999999999E-2</v>
      </c>
    </row>
    <row r="20" spans="1:6" ht="19.2" x14ac:dyDescent="0.45">
      <c r="B20" s="52" t="s">
        <v>8</v>
      </c>
      <c r="C20" s="53"/>
      <c r="D20" s="30">
        <f>FV(taxa_mensal,qtd_anos*12,aporte*-1)</f>
        <v>16755.382799697527</v>
      </c>
    </row>
    <row r="21" spans="1:6" ht="19.2" x14ac:dyDescent="0.45">
      <c r="B21" s="58" t="s">
        <v>9</v>
      </c>
      <c r="C21" s="59"/>
      <c r="D21" s="31">
        <f>patrimonio*rendimento_carteira</f>
        <v>100.53229679818516</v>
      </c>
      <c r="F21" s="3"/>
    </row>
    <row r="23" spans="1:6" ht="16.8" x14ac:dyDescent="0.3">
      <c r="B23" s="49" t="s">
        <v>10</v>
      </c>
      <c r="C23" s="50"/>
      <c r="D23" s="21" t="s">
        <v>11</v>
      </c>
    </row>
    <row r="24" spans="1:6" ht="19.2" x14ac:dyDescent="0.45">
      <c r="A24" s="1">
        <v>2</v>
      </c>
      <c r="B24" s="5" t="s">
        <v>12</v>
      </c>
      <c r="C24" s="32">
        <f>FV($D$19,$A24*12,$D$17*-1)</f>
        <v>5445.5254595290435</v>
      </c>
      <c r="D24" s="33">
        <f>C24*rendimento_carteira</f>
        <v>32.673152757174265</v>
      </c>
    </row>
    <row r="25" spans="1:6" ht="19.2" x14ac:dyDescent="0.45">
      <c r="A25" s="1">
        <v>5</v>
      </c>
      <c r="B25" s="6" t="s">
        <v>13</v>
      </c>
      <c r="C25" s="34">
        <f>FV($D$19,$A25*12,$D$17*-1)</f>
        <v>16755.382799697527</v>
      </c>
      <c r="D25" s="35">
        <f>C25*rendimento_carteira</f>
        <v>100.53229679818516</v>
      </c>
    </row>
    <row r="26" spans="1:6" ht="19.2" x14ac:dyDescent="0.45">
      <c r="A26" s="1">
        <v>10</v>
      </c>
      <c r="B26" s="6" t="s">
        <v>14</v>
      </c>
      <c r="C26" s="34">
        <f>FV($D$19,$A26*12,$D$17*-1)</f>
        <v>48656.842506034438</v>
      </c>
      <c r="D26" s="35">
        <f>C26*rendimento_carteira</f>
        <v>291.94105503620665</v>
      </c>
    </row>
    <row r="27" spans="1:6" ht="19.2" x14ac:dyDescent="0.45">
      <c r="A27" s="1">
        <v>20</v>
      </c>
      <c r="B27" s="6" t="s">
        <v>15</v>
      </c>
      <c r="C27" s="34">
        <f>FV($D$19,$A27*12,$D$17*-1)</f>
        <v>225039.68001941612</v>
      </c>
      <c r="D27" s="35">
        <f>C27*rendimento_carteira</f>
        <v>1350.2380801164968</v>
      </c>
    </row>
    <row r="28" spans="1:6" ht="19.2" x14ac:dyDescent="0.45">
      <c r="A28" s="1">
        <v>30</v>
      </c>
      <c r="B28" s="7" t="s">
        <v>16</v>
      </c>
      <c r="C28" s="36">
        <f>FV($D$19,$A28*12,$D$17*-1)</f>
        <v>864433.93100094295</v>
      </c>
      <c r="D28" s="37">
        <f>C28*rendimento_carteira</f>
        <v>5186.6035860056581</v>
      </c>
    </row>
    <row r="32" spans="1:6" x14ac:dyDescent="0.3">
      <c r="B32" s="23" t="s">
        <v>17</v>
      </c>
      <c r="C32" s="23" t="s">
        <v>18</v>
      </c>
      <c r="D32" s="23"/>
    </row>
    <row r="33" spans="2:4" x14ac:dyDescent="0.3">
      <c r="B33" s="9" t="s">
        <v>19</v>
      </c>
      <c r="C33" s="38">
        <f>aporte</f>
        <v>200</v>
      </c>
      <c r="D33" s="38"/>
    </row>
    <row r="35" spans="2:4" x14ac:dyDescent="0.3">
      <c r="B35" s="24" t="s">
        <v>20</v>
      </c>
      <c r="C35" s="24" t="s">
        <v>21</v>
      </c>
      <c r="D35" s="24" t="s">
        <v>22</v>
      </c>
    </row>
    <row r="36" spans="2:4" x14ac:dyDescent="0.3">
      <c r="B36" s="2" t="s">
        <v>23</v>
      </c>
      <c r="C36" s="39">
        <f>VLOOKUP($C$32&amp;"-"&amp;B36,Planilha2!$A:$D,4,FALSE)</f>
        <v>0.32</v>
      </c>
      <c r="D36" s="38">
        <f>C36*$C$33</f>
        <v>64</v>
      </c>
    </row>
    <row r="37" spans="2:4" x14ac:dyDescent="0.3">
      <c r="B37" s="2" t="s">
        <v>24</v>
      </c>
      <c r="C37" s="39">
        <f>VLOOKUP($C$32&amp;"-"&amp;B37,Planilha2!$A:$D,4,FALSE)</f>
        <v>0.35</v>
      </c>
      <c r="D37" s="38">
        <f t="shared" ref="D37:D41" si="0">C37*$C$33</f>
        <v>70</v>
      </c>
    </row>
    <row r="38" spans="2:4" x14ac:dyDescent="0.3">
      <c r="B38" s="2" t="s">
        <v>25</v>
      </c>
      <c r="C38" s="39">
        <f>VLOOKUP($C$32&amp;"-"&amp;B38,Planilha2!$A:$D,4,FALSE)</f>
        <v>0.08</v>
      </c>
      <c r="D38" s="38">
        <f t="shared" si="0"/>
        <v>16</v>
      </c>
    </row>
    <row r="39" spans="2:4" x14ac:dyDescent="0.3">
      <c r="B39" s="2" t="s">
        <v>26</v>
      </c>
      <c r="C39" s="39">
        <f>VLOOKUP($C$32&amp;"-"&amp;B39,Planilha2!$A:$D,4,FALSE)</f>
        <v>0.05</v>
      </c>
      <c r="D39" s="38">
        <f t="shared" si="0"/>
        <v>10</v>
      </c>
    </row>
    <row r="40" spans="2:4" x14ac:dyDescent="0.3">
      <c r="B40" s="2" t="s">
        <v>27</v>
      </c>
      <c r="C40" s="39">
        <f>VLOOKUP($C$32&amp;"-"&amp;B40,Planilha2!$A:$D,4,FALSE)</f>
        <v>0.1</v>
      </c>
      <c r="D40" s="38">
        <f t="shared" si="0"/>
        <v>20</v>
      </c>
    </row>
    <row r="41" spans="2:4" x14ac:dyDescent="0.3">
      <c r="B41" s="2" t="s">
        <v>28</v>
      </c>
      <c r="C41" s="39">
        <f>VLOOKUP($C$32&amp;"-"&amp;B41,Planilha2!$A:$D,4,FALSE)</f>
        <v>0.1</v>
      </c>
      <c r="D41" s="38">
        <f t="shared" si="0"/>
        <v>20</v>
      </c>
    </row>
    <row r="42" spans="2:4" x14ac:dyDescent="0.3">
      <c r="B42" s="10"/>
      <c r="C42" s="26"/>
      <c r="D42" s="38">
        <f>SUM(D36:D41)</f>
        <v>200</v>
      </c>
    </row>
  </sheetData>
  <mergeCells count="12">
    <mergeCell ref="B1:D1"/>
    <mergeCell ref="B2:D3"/>
    <mergeCell ref="B12:C12"/>
    <mergeCell ref="B13:C13"/>
    <mergeCell ref="B14:C14"/>
    <mergeCell ref="B16:D16"/>
    <mergeCell ref="B20:C20"/>
    <mergeCell ref="B23:C23"/>
    <mergeCell ref="B17:C17"/>
    <mergeCell ref="B18:C18"/>
    <mergeCell ref="B19:C19"/>
    <mergeCell ref="B21:C21"/>
  </mergeCells>
  <dataValidations count="1">
    <dataValidation type="list" allowBlank="1" showInputMessage="1" showErrorMessage="1" sqref="C32" xr:uid="{00000000-0002-0000-0000-000000000000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8"/>
  <sheetViews>
    <sheetView showGridLines="0" tabSelected="1" zoomScale="55" zoomScaleNormal="55" workbookViewId="0">
      <selection activeCell="W21" sqref="W21"/>
    </sheetView>
  </sheetViews>
  <sheetFormatPr defaultRowHeight="14.4" x14ac:dyDescent="0.3"/>
  <cols>
    <col min="1" max="4" width="20" customWidth="1"/>
    <col min="5" max="5" width="18" customWidth="1"/>
    <col min="6" max="6" width="14" customWidth="1"/>
    <col min="7" max="7" width="16" customWidth="1"/>
  </cols>
  <sheetData>
    <row r="1" spans="1:8" ht="24" customHeight="1" x14ac:dyDescent="0.3">
      <c r="A1" s="60" t="s">
        <v>36</v>
      </c>
      <c r="B1" s="60"/>
      <c r="C1" s="60"/>
      <c r="D1" s="60"/>
      <c r="E1" s="60"/>
      <c r="F1" s="60"/>
      <c r="G1" s="60"/>
      <c r="H1" s="60"/>
    </row>
    <row r="3" spans="1:8" x14ac:dyDescent="0.3">
      <c r="A3" s="64" t="s">
        <v>37</v>
      </c>
      <c r="B3" s="64"/>
      <c r="C3" s="64"/>
      <c r="D3" s="64"/>
      <c r="E3" s="64"/>
      <c r="F3" s="64"/>
      <c r="G3" s="64"/>
      <c r="H3" s="64"/>
    </row>
    <row r="4" spans="1:8" x14ac:dyDescent="0.3">
      <c r="A4" s="40" t="s">
        <v>38</v>
      </c>
      <c r="B4" s="38">
        <f>APP!D17</f>
        <v>200</v>
      </c>
      <c r="C4" s="40" t="s">
        <v>39</v>
      </c>
      <c r="D4" s="41">
        <f>APP!D18</f>
        <v>5</v>
      </c>
    </row>
    <row r="5" spans="1:8" x14ac:dyDescent="0.3">
      <c r="A5" s="40" t="s">
        <v>40</v>
      </c>
      <c r="B5" s="39">
        <f>APP!D19</f>
        <v>1.0789999999999999E-2</v>
      </c>
      <c r="C5" s="42" t="s">
        <v>41</v>
      </c>
      <c r="D5" s="39">
        <f>APP!D13</f>
        <v>6.0000000000000001E-3</v>
      </c>
    </row>
    <row r="6" spans="1:8" x14ac:dyDescent="0.3">
      <c r="A6" s="40" t="s">
        <v>42</v>
      </c>
      <c r="B6" s="38">
        <f>APP!D20</f>
        <v>16755.382799697527</v>
      </c>
      <c r="C6" s="43" t="s">
        <v>43</v>
      </c>
      <c r="D6" s="38">
        <f>APP!D21</f>
        <v>100.53229679818516</v>
      </c>
    </row>
    <row r="7" spans="1:8" x14ac:dyDescent="0.3">
      <c r="A7" s="40" t="s">
        <v>44</v>
      </c>
      <c r="B7" s="38">
        <f>APP!D17*APP!D18*12</f>
        <v>12000</v>
      </c>
      <c r="C7" s="43" t="s">
        <v>45</v>
      </c>
      <c r="D7" s="38">
        <f>APP!D20-(APP!D17*APP!D18*12)</f>
        <v>4755.3827996975269</v>
      </c>
    </row>
    <row r="8" spans="1:8" x14ac:dyDescent="0.3">
      <c r="A8" s="40" t="s">
        <v>46</v>
      </c>
      <c r="B8" s="26" t="str">
        <f>APP!C32</f>
        <v>Moderado</v>
      </c>
      <c r="C8" s="40" t="s">
        <v>47</v>
      </c>
      <c r="D8" s="38">
        <f>APP!D14</f>
        <v>600</v>
      </c>
    </row>
    <row r="10" spans="1:8" ht="27.15" customHeight="1" x14ac:dyDescent="0.3">
      <c r="A10" s="65" t="s">
        <v>48</v>
      </c>
      <c r="B10" s="65"/>
      <c r="C10" s="65"/>
      <c r="D10" s="65"/>
      <c r="E10" s="65"/>
      <c r="F10" s="65"/>
      <c r="G10" s="65"/>
      <c r="H10" s="65"/>
    </row>
    <row r="11" spans="1:8" ht="27.15" customHeight="1" x14ac:dyDescent="0.3">
      <c r="A11" s="65"/>
      <c r="B11" s="65"/>
      <c r="C11" s="65"/>
      <c r="D11" s="65"/>
      <c r="E11" s="65"/>
      <c r="F11" s="65"/>
      <c r="G11" s="65"/>
      <c r="H11" s="65"/>
    </row>
    <row r="12" spans="1:8" ht="27.15" customHeight="1" x14ac:dyDescent="0.3">
      <c r="A12" s="65"/>
      <c r="B12" s="65"/>
      <c r="C12" s="65"/>
      <c r="D12" s="65"/>
      <c r="E12" s="65"/>
      <c r="F12" s="65"/>
      <c r="G12" s="65"/>
      <c r="H12" s="65"/>
    </row>
    <row r="14" spans="1:8" x14ac:dyDescent="0.3">
      <c r="A14" s="24" t="s">
        <v>49</v>
      </c>
      <c r="B14" s="24" t="s">
        <v>50</v>
      </c>
      <c r="C14" s="24" t="s">
        <v>43</v>
      </c>
      <c r="E14" s="24" t="s">
        <v>51</v>
      </c>
      <c r="F14" s="24" t="s">
        <v>52</v>
      </c>
      <c r="G14" s="24" t="s">
        <v>53</v>
      </c>
    </row>
    <row r="15" spans="1:8" x14ac:dyDescent="0.3">
      <c r="A15">
        <f>APP!A24</f>
        <v>2</v>
      </c>
      <c r="B15" s="44">
        <f>APP!C24</f>
        <v>5445.5254595290435</v>
      </c>
      <c r="C15" s="44">
        <f>APP!D24</f>
        <v>32.673152757174265</v>
      </c>
      <c r="E15" t="str">
        <f>APP!B36</f>
        <v>PAPEL</v>
      </c>
      <c r="F15" s="45">
        <f>APP!C36</f>
        <v>0.32</v>
      </c>
      <c r="G15" s="44">
        <f>APP!D36</f>
        <v>64</v>
      </c>
    </row>
    <row r="16" spans="1:8" x14ac:dyDescent="0.3">
      <c r="A16">
        <f>APP!A25</f>
        <v>5</v>
      </c>
      <c r="B16" s="44">
        <f>APP!C25</f>
        <v>16755.382799697527</v>
      </c>
      <c r="C16" s="44">
        <f>APP!D25</f>
        <v>100.53229679818516</v>
      </c>
      <c r="E16" t="str">
        <f>APP!B37</f>
        <v>TIJOLO</v>
      </c>
      <c r="F16" s="45">
        <f>APP!C37</f>
        <v>0.35</v>
      </c>
      <c r="G16" s="44">
        <f>APP!D37</f>
        <v>70</v>
      </c>
    </row>
    <row r="17" spans="1:7" x14ac:dyDescent="0.3">
      <c r="A17">
        <f>APP!A26</f>
        <v>10</v>
      </c>
      <c r="B17" s="44">
        <f>APP!C26</f>
        <v>48656.842506034438</v>
      </c>
      <c r="C17" s="44">
        <f>APP!D26</f>
        <v>291.94105503620665</v>
      </c>
      <c r="E17" t="str">
        <f>APP!B38</f>
        <v>HÍBRIDOS</v>
      </c>
      <c r="F17" s="45">
        <f>APP!C38</f>
        <v>0.08</v>
      </c>
      <c r="G17" s="44">
        <f>APP!D38</f>
        <v>16</v>
      </c>
    </row>
    <row r="18" spans="1:7" x14ac:dyDescent="0.3">
      <c r="A18">
        <f>APP!A27</f>
        <v>20</v>
      </c>
      <c r="B18" s="44">
        <f>APP!C27</f>
        <v>225039.68001941612</v>
      </c>
      <c r="C18" s="44">
        <f>APP!D27</f>
        <v>1350.2380801164968</v>
      </c>
      <c r="E18" t="str">
        <f>APP!B39</f>
        <v>FOFs</v>
      </c>
      <c r="F18" s="45">
        <f>APP!C39</f>
        <v>0.05</v>
      </c>
      <c r="G18" s="44">
        <f>APP!D39</f>
        <v>10</v>
      </c>
    </row>
    <row r="19" spans="1:7" x14ac:dyDescent="0.3">
      <c r="A19">
        <f>APP!A28</f>
        <v>30</v>
      </c>
      <c r="B19" s="44">
        <f>APP!C28</f>
        <v>864433.93100094295</v>
      </c>
      <c r="C19" s="44">
        <f>APP!D28</f>
        <v>5186.6035860056581</v>
      </c>
      <c r="E19" t="str">
        <f>APP!B40</f>
        <v>DESENVOLVIMENTO</v>
      </c>
      <c r="F19" s="45">
        <f>APP!C40</f>
        <v>0.1</v>
      </c>
      <c r="G19" s="44">
        <f>APP!D40</f>
        <v>20</v>
      </c>
    </row>
    <row r="20" spans="1:7" x14ac:dyDescent="0.3">
      <c r="E20" t="str">
        <f>APP!B41</f>
        <v>HOTELARIAS</v>
      </c>
      <c r="F20" s="45">
        <f>APP!C41</f>
        <v>0.1</v>
      </c>
      <c r="G20" s="44">
        <f>APP!D41</f>
        <v>20</v>
      </c>
    </row>
    <row r="23" spans="1:7" x14ac:dyDescent="0.3">
      <c r="A23" s="24" t="s">
        <v>49</v>
      </c>
      <c r="B23" s="24" t="s">
        <v>44</v>
      </c>
      <c r="C23" s="24" t="s">
        <v>54</v>
      </c>
    </row>
    <row r="24" spans="1:7" x14ac:dyDescent="0.3">
      <c r="A24" s="47">
        <v>1</v>
      </c>
      <c r="B24" s="48">
        <f>APP!D17*A24*12</f>
        <v>2400</v>
      </c>
      <c r="C24" s="48">
        <f>FV(APP!D19,A24*12,APP!D17*-1)</f>
        <v>2547.6772001113118</v>
      </c>
    </row>
    <row r="25" spans="1:7" x14ac:dyDescent="0.3">
      <c r="A25" s="47">
        <v>2</v>
      </c>
      <c r="B25" s="48">
        <f>APP!D17*A25*12</f>
        <v>4800</v>
      </c>
      <c r="C25" s="48">
        <f>FV(APP!D19,A25*12,APP!D17*-1)</f>
        <v>5445.5254595290435</v>
      </c>
    </row>
    <row r="26" spans="1:7" x14ac:dyDescent="0.3">
      <c r="A26" s="47">
        <v>3</v>
      </c>
      <c r="B26" s="48">
        <f>APP!D17*A26*12</f>
        <v>7200</v>
      </c>
      <c r="C26" s="48">
        <f>FV(APP!D19,A26*12,APP!D17*-1)</f>
        <v>8741.6748046044213</v>
      </c>
    </row>
    <row r="27" spans="1:7" x14ac:dyDescent="0.3">
      <c r="A27" s="47">
        <v>4</v>
      </c>
      <c r="B27" s="48">
        <f>APP!D17*A27*12</f>
        <v>9600</v>
      </c>
      <c r="C27" s="48">
        <f>FV(APP!D19,A27*12,APP!D17*-1)</f>
        <v>12490.870598322032</v>
      </c>
    </row>
    <row r="28" spans="1:7" x14ac:dyDescent="0.3">
      <c r="A28" s="47">
        <v>5</v>
      </c>
      <c r="B28" s="48">
        <f>APP!D17*A28*12</f>
        <v>12000</v>
      </c>
      <c r="C28" s="48">
        <f>FV(APP!D19,A28*12,APP!D17*-1)</f>
        <v>16755.382799697527</v>
      </c>
    </row>
    <row r="29" spans="1:7" x14ac:dyDescent="0.3">
      <c r="A29" s="47">
        <v>6</v>
      </c>
      <c r="B29" s="48">
        <f>APP!D17*A29*12</f>
        <v>14400</v>
      </c>
      <c r="C29" s="48">
        <f>FV(APP!D19,A29*12,APP!D17*-1)</f>
        <v>21606.040198319984</v>
      </c>
    </row>
    <row r="30" spans="1:7" x14ac:dyDescent="0.3">
      <c r="A30" s="47">
        <v>7</v>
      </c>
      <c r="B30" s="48">
        <f>APP!D17*A30*12</f>
        <v>16800</v>
      </c>
      <c r="C30" s="48">
        <f>FV(APP!D19,A30*12,APP!D17*-1)</f>
        <v>27123.40680152061</v>
      </c>
    </row>
    <row r="31" spans="1:7" x14ac:dyDescent="0.3">
      <c r="A31" s="47">
        <v>8</v>
      </c>
      <c r="B31" s="48">
        <f>APP!D17*A31*12</f>
        <v>19200</v>
      </c>
      <c r="C31" s="48">
        <f>FV(APP!D19,A31*12,APP!D17*-1)</f>
        <v>33399.11991264626</v>
      </c>
    </row>
    <row r="32" spans="1:7" x14ac:dyDescent="0.3">
      <c r="A32" s="47">
        <v>9</v>
      </c>
      <c r="B32" s="48">
        <f>APP!D17*A32*12</f>
        <v>21600</v>
      </c>
      <c r="C32" s="48">
        <f>FV(APP!D19,A32*12,APP!D17*-1)</f>
        <v>40537.412124424867</v>
      </c>
    </row>
    <row r="33" spans="1:3" x14ac:dyDescent="0.3">
      <c r="A33" s="47">
        <v>10</v>
      </c>
      <c r="B33" s="48">
        <f>APP!D17*A33*12</f>
        <v>24000</v>
      </c>
      <c r="C33" s="48">
        <f>FV(APP!D19,A33*12,APP!D17*-1)</f>
        <v>48656.842506034438</v>
      </c>
    </row>
    <row r="34" spans="1:3" x14ac:dyDescent="0.3">
      <c r="A34" s="47">
        <v>11</v>
      </c>
      <c r="B34" s="48">
        <f>APP!D17*A34*12</f>
        <v>26400</v>
      </c>
      <c r="C34" s="48">
        <f>FV(APP!D19,A34*12,APP!D17*-1)</f>
        <v>57892.265736961301</v>
      </c>
    </row>
    <row r="35" spans="1:3" x14ac:dyDescent="0.3">
      <c r="A35" s="47">
        <v>12</v>
      </c>
      <c r="B35" s="48">
        <f>APP!D17*A35*12</f>
        <v>28800</v>
      </c>
      <c r="C35" s="48">
        <f>FV(APP!D19,A35*12,APP!D17*-1)</f>
        <v>68397.071892764026</v>
      </c>
    </row>
    <row r="36" spans="1:3" x14ac:dyDescent="0.3">
      <c r="A36" s="47">
        <v>13</v>
      </c>
      <c r="B36" s="48">
        <f>APP!D17*A36*12</f>
        <v>31200</v>
      </c>
      <c r="C36" s="48">
        <f>FV(APP!D19,A36*12,APP!D17*-1)</f>
        <v>80345.734083085277</v>
      </c>
    </row>
    <row r="37" spans="1:3" x14ac:dyDescent="0.3">
      <c r="A37" s="47">
        <v>14</v>
      </c>
      <c r="B37" s="48">
        <f>APP!D17*A37*12</f>
        <v>33600</v>
      </c>
      <c r="C37" s="48">
        <f>FV(APP!D19,A37*12,APP!D17*-1)</f>
        <v>93936.706255336976</v>
      </c>
    </row>
    <row r="38" spans="1:3" x14ac:dyDescent="0.3">
      <c r="A38" s="47">
        <v>15</v>
      </c>
      <c r="B38" s="48">
        <f>APP!D17*A38*12</f>
        <v>36000</v>
      </c>
      <c r="C38" s="48">
        <f>FV(APP!D19,A38*12,APP!D17*-1)</f>
        <v>109395.71929334418</v>
      </c>
    </row>
    <row r="39" spans="1:3" x14ac:dyDescent="0.3">
      <c r="A39" s="47">
        <v>16</v>
      </c>
      <c r="B39" s="48">
        <f>APP!D17*A39*12</f>
        <v>38400</v>
      </c>
      <c r="C39" s="48">
        <f>FV(APP!D19,A39*12,APP!D17*-1)</f>
        <v>126979.53015546902</v>
      </c>
    </row>
    <row r="40" spans="1:3" x14ac:dyDescent="0.3">
      <c r="A40" s="47">
        <v>17</v>
      </c>
      <c r="B40" s="48">
        <f>APP!D17*A40*12</f>
        <v>40800</v>
      </c>
      <c r="C40" s="48">
        <f>FV(APP!D19,A40*12,APP!D17*-1)</f>
        <v>146980.18632121594</v>
      </c>
    </row>
    <row r="41" spans="1:3" x14ac:dyDescent="0.3">
      <c r="A41" s="47">
        <v>18</v>
      </c>
      <c r="B41" s="48">
        <f>APP!D17*A41*12</f>
        <v>43200</v>
      </c>
      <c r="C41" s="48">
        <f>FV(APP!D19,A41*12,APP!D17*-1)</f>
        <v>169729.87637401774</v>
      </c>
    </row>
    <row r="42" spans="1:3" x14ac:dyDescent="0.3">
      <c r="A42" s="47">
        <v>19</v>
      </c>
      <c r="B42" s="48">
        <f>APP!D17*A42*12</f>
        <v>45600</v>
      </c>
      <c r="C42" s="48">
        <f>FV(APP!D19,A42*12,APP!D17*-1)</f>
        <v>195606.44728297126</v>
      </c>
    </row>
    <row r="43" spans="1:3" x14ac:dyDescent="0.3">
      <c r="A43" s="47">
        <v>20</v>
      </c>
      <c r="B43" s="48">
        <f>APP!D17*A43*12</f>
        <v>48000</v>
      </c>
      <c r="C43" s="48">
        <f>FV(APP!D19,A43*12,APP!D17*-1)</f>
        <v>225039.68001941612</v>
      </c>
    </row>
    <row r="44" spans="1:3" x14ac:dyDescent="0.3">
      <c r="A44" s="47">
        <v>21</v>
      </c>
      <c r="B44" s="48">
        <f>APP!D17*A44*12</f>
        <v>50400</v>
      </c>
      <c r="C44" s="48">
        <f>FV(APP!D19,A44*12,APP!D17*-1)</f>
        <v>258518.42773934591</v>
      </c>
    </row>
    <row r="45" spans="1:3" x14ac:dyDescent="0.3">
      <c r="A45" s="47">
        <v>22</v>
      </c>
      <c r="B45" s="48">
        <f>APP!D17*A45*12</f>
        <v>52800</v>
      </c>
      <c r="C45" s="48">
        <f>FV(APP!D19,A45*12,APP!D17*-1)</f>
        <v>296598.73508889764</v>
      </c>
    </row>
    <row r="46" spans="1:3" x14ac:dyDescent="0.3">
      <c r="A46" s="47">
        <v>23</v>
      </c>
      <c r="B46" s="48">
        <f>APP!D17*A46*12</f>
        <v>55200</v>
      </c>
      <c r="C46" s="48">
        <f>FV(APP!D19,A46*12,APP!D17*-1)</f>
        <v>339913.07348552387</v>
      </c>
    </row>
    <row r="47" spans="1:3" x14ac:dyDescent="0.3">
      <c r="A47" s="47">
        <v>24</v>
      </c>
      <c r="B47" s="48">
        <f>APP!D17*A47*12</f>
        <v>57600</v>
      </c>
      <c r="C47" s="48">
        <f>FV(APP!D19,A47*12,APP!D17*-1)</f>
        <v>389180.84576256503</v>
      </c>
    </row>
    <row r="48" spans="1:3" x14ac:dyDescent="0.3">
      <c r="A48" s="47">
        <v>25</v>
      </c>
      <c r="B48" s="48">
        <f>APP!D17*A48*12</f>
        <v>60000</v>
      </c>
      <c r="C48" s="48">
        <f>FV(APP!D19,A48*12,APP!D17*-1)</f>
        <v>445220.33464764646</v>
      </c>
    </row>
    <row r="49" spans="1:8" x14ac:dyDescent="0.3">
      <c r="A49" s="47">
        <v>26</v>
      </c>
      <c r="B49" s="48">
        <f>APP!D17*A49*12</f>
        <v>62400</v>
      </c>
      <c r="C49" s="48">
        <f>FV(APP!D19,A49*12,APP!D17*-1)</f>
        <v>508962.2935257951</v>
      </c>
    </row>
    <row r="50" spans="1:8" x14ac:dyDescent="0.3">
      <c r="A50" s="47">
        <v>27</v>
      </c>
      <c r="B50" s="48">
        <f>APP!D17*A50*12</f>
        <v>64800</v>
      </c>
      <c r="C50" s="48">
        <f>FV(APP!D19,A50*12,APP!D17*-1)</f>
        <v>581465.40521468932</v>
      </c>
    </row>
    <row r="51" spans="1:8" x14ac:dyDescent="0.3">
      <c r="A51" s="47">
        <v>28</v>
      </c>
      <c r="B51" s="48">
        <f>APP!D17*A51*12</f>
        <v>67200</v>
      </c>
      <c r="C51" s="48">
        <f>FV(APP!D19,A51*12,APP!D17*-1)</f>
        <v>663933.86550504796</v>
      </c>
    </row>
    <row r="52" spans="1:8" x14ac:dyDescent="0.3">
      <c r="A52" s="47">
        <v>29</v>
      </c>
      <c r="B52" s="48">
        <f>APP!D17*A52*12</f>
        <v>69600</v>
      </c>
      <c r="C52" s="48">
        <f>FV(APP!D19,A52*12,APP!D17*-1)</f>
        <v>757737.3835091478</v>
      </c>
    </row>
    <row r="53" spans="1:8" x14ac:dyDescent="0.3">
      <c r="A53" s="47">
        <v>30</v>
      </c>
      <c r="B53" s="48">
        <f>APP!D17*A53*12</f>
        <v>72000</v>
      </c>
      <c r="C53" s="48">
        <f>FV(APP!D19,A53*12,APP!D17*-1)</f>
        <v>864433.93100094295</v>
      </c>
    </row>
    <row r="56" spans="1:8" x14ac:dyDescent="0.3">
      <c r="A56" s="61" t="s">
        <v>55</v>
      </c>
      <c r="B56" s="61"/>
      <c r="C56" s="61"/>
      <c r="D56" s="61"/>
      <c r="E56" s="61"/>
      <c r="F56" s="61"/>
      <c r="G56" s="61"/>
      <c r="H56" s="61"/>
    </row>
    <row r="57" spans="1:8" x14ac:dyDescent="0.3">
      <c r="A57" s="61"/>
      <c r="B57" s="61"/>
      <c r="C57" s="61"/>
      <c r="D57" s="61"/>
      <c r="E57" s="61"/>
      <c r="F57" s="61"/>
      <c r="G57" s="61"/>
      <c r="H57" s="61"/>
    </row>
    <row r="58" spans="1:8" x14ac:dyDescent="0.3">
      <c r="A58" s="61"/>
      <c r="B58" s="61"/>
      <c r="C58" s="61"/>
      <c r="D58" s="61"/>
      <c r="E58" s="61"/>
      <c r="F58" s="61"/>
      <c r="G58" s="61"/>
      <c r="H58" s="61"/>
    </row>
  </sheetData>
  <mergeCells count="4">
    <mergeCell ref="A1:H1"/>
    <mergeCell ref="A3:H3"/>
    <mergeCell ref="A10:H12"/>
    <mergeCell ref="A56:H58"/>
  </mergeCells>
  <conditionalFormatting sqref="C24:C53">
    <cfRule type="dataBar" priority="1">
      <dataBar>
        <cfvo type="min"/>
        <cfvo type="max"/>
        <color rgb="FF60A5FA"/>
      </dataBar>
    </cfRule>
    <cfRule type="dataBar" priority="3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conditionalFormatting sqref="G15:G20">
    <cfRule type="dataBar" priority="2">
      <dataBar>
        <cfvo type="min"/>
        <cfvo type="max"/>
        <color rgb="FF34D399"/>
      </dataBar>
    </cfRule>
    <cfRule type="dataBar" priority="4">
      <dataBar>
        <cfvo type="min"/>
        <cfvo type="max"/>
        <color rgb="FF34D399"/>
      </dataBar>
      <extLst>
        <ext xmlns:x14="http://schemas.microsoft.com/office/spreadsheetml/2009/9/main" uri="{B025F937-C7B1-47D3-B67F-A62EFF666E3E}">
          <x14:id>{169BE573-5479-287D-BE93-74B15E11EBFA}</x14:id>
        </ext>
      </extLst>
    </cfRule>
  </conditionalFormatting>
  <pageMargins left="0.7" right="0.7" top="0.75" bottom="0.75" header="0.3" footer="0.3"/>
  <pageSetup paperSize="0" orientation="portrait" horizontalDpi="0" verticalDpi="0" copies="0"/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C24:C53</xm:sqref>
        </x14:conditionalFormatting>
        <x14:conditionalFormatting xmlns:xm="http://schemas.microsoft.com/office/excel/2006/main">
          <x14:cfRule type="dataBar" id="{169BE573-5479-287D-BE93-74B15E11EBFA}">
            <x14:dataBar>
              <x14:cfvo type="min"/>
              <x14:cfvo type="max"/>
              <x14:negativeFillColor auto="1"/>
              <x14:axisColor auto="1"/>
            </x14:dataBar>
          </x14:cfRule>
          <xm:sqref>G15:G20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workbookViewId="0">
      <selection activeCell="B20" sqref="B20"/>
    </sheetView>
  </sheetViews>
  <sheetFormatPr defaultRowHeight="14.4" x14ac:dyDescent="0.3"/>
  <cols>
    <col min="1" max="2" width="24" customWidth="1"/>
    <col min="3" max="3" width="18" customWidth="1"/>
    <col min="4" max="4" width="45" customWidth="1"/>
  </cols>
  <sheetData>
    <row r="1" spans="1:8" ht="21" x14ac:dyDescent="0.3">
      <c r="A1" s="60" t="s">
        <v>56</v>
      </c>
      <c r="B1" s="60"/>
      <c r="C1" s="60"/>
      <c r="D1" s="60"/>
      <c r="E1" s="60"/>
      <c r="F1" s="60"/>
      <c r="G1" s="60"/>
      <c r="H1" s="60"/>
    </row>
    <row r="3" spans="1:8" x14ac:dyDescent="0.3">
      <c r="A3" s="64" t="s">
        <v>57</v>
      </c>
      <c r="B3" s="64"/>
      <c r="C3" s="64"/>
      <c r="D3" s="64"/>
      <c r="E3" s="64"/>
      <c r="F3" s="64"/>
      <c r="G3" s="64"/>
      <c r="H3" s="64"/>
    </row>
    <row r="4" spans="1:8" x14ac:dyDescent="0.3">
      <c r="A4" s="61" t="s">
        <v>58</v>
      </c>
      <c r="B4" s="61"/>
      <c r="C4" s="61"/>
      <c r="D4" s="61"/>
      <c r="E4" s="61"/>
      <c r="F4" s="61"/>
      <c r="G4" s="61"/>
      <c r="H4" s="61"/>
    </row>
    <row r="5" spans="1:8" x14ac:dyDescent="0.3">
      <c r="A5" s="61"/>
      <c r="B5" s="61"/>
      <c r="C5" s="61"/>
      <c r="D5" s="61"/>
      <c r="E5" s="61"/>
      <c r="F5" s="61"/>
      <c r="G5" s="61"/>
      <c r="H5" s="61"/>
    </row>
    <row r="7" spans="1:8" x14ac:dyDescent="0.3">
      <c r="A7" s="24" t="s">
        <v>59</v>
      </c>
      <c r="B7" s="24" t="s">
        <v>60</v>
      </c>
      <c r="C7" s="24" t="s">
        <v>61</v>
      </c>
      <c r="D7" s="24" t="s">
        <v>62</v>
      </c>
    </row>
    <row r="8" spans="1:8" x14ac:dyDescent="0.3">
      <c r="A8" s="46" t="s">
        <v>1</v>
      </c>
      <c r="B8" s="46" t="s">
        <v>63</v>
      </c>
      <c r="C8" s="46" t="s">
        <v>64</v>
      </c>
      <c r="D8" s="46" t="s">
        <v>65</v>
      </c>
    </row>
    <row r="9" spans="1:8" x14ac:dyDescent="0.3">
      <c r="A9" s="46" t="s">
        <v>66</v>
      </c>
      <c r="B9" s="46" t="s">
        <v>67</v>
      </c>
      <c r="C9" s="46" t="s">
        <v>68</v>
      </c>
      <c r="D9" s="46" t="s">
        <v>69</v>
      </c>
    </row>
    <row r="10" spans="1:8" x14ac:dyDescent="0.3">
      <c r="A10" s="46" t="s">
        <v>38</v>
      </c>
      <c r="B10" s="46" t="s">
        <v>70</v>
      </c>
      <c r="C10" s="46" t="s">
        <v>64</v>
      </c>
      <c r="D10" s="46" t="s">
        <v>71</v>
      </c>
    </row>
    <row r="11" spans="1:8" x14ac:dyDescent="0.3">
      <c r="A11" s="46" t="s">
        <v>72</v>
      </c>
      <c r="B11" s="46" t="s">
        <v>73</v>
      </c>
      <c r="C11" s="46" t="s">
        <v>64</v>
      </c>
      <c r="D11" s="46" t="s">
        <v>74</v>
      </c>
    </row>
    <row r="12" spans="1:8" x14ac:dyDescent="0.3">
      <c r="A12" s="46" t="s">
        <v>75</v>
      </c>
      <c r="B12" s="46" t="s">
        <v>76</v>
      </c>
      <c r="C12" s="46" t="s">
        <v>64</v>
      </c>
      <c r="D12" s="46" t="s">
        <v>77</v>
      </c>
    </row>
    <row r="13" spans="1:8" x14ac:dyDescent="0.3">
      <c r="A13" s="46" t="s">
        <v>46</v>
      </c>
      <c r="B13" s="46" t="s">
        <v>78</v>
      </c>
      <c r="C13" s="46" t="s">
        <v>64</v>
      </c>
      <c r="D13" s="46" t="s">
        <v>79</v>
      </c>
    </row>
    <row r="14" spans="1:8" x14ac:dyDescent="0.3">
      <c r="A14" s="46" t="s">
        <v>50</v>
      </c>
      <c r="B14" s="46" t="s">
        <v>80</v>
      </c>
      <c r="C14" s="46" t="s">
        <v>81</v>
      </c>
      <c r="D14" s="46" t="s">
        <v>82</v>
      </c>
    </row>
    <row r="15" spans="1:8" x14ac:dyDescent="0.3">
      <c r="A15" s="46" t="s">
        <v>43</v>
      </c>
      <c r="B15" s="46" t="s">
        <v>83</v>
      </c>
      <c r="C15" s="46" t="s">
        <v>81</v>
      </c>
      <c r="D15" s="46" t="s">
        <v>84</v>
      </c>
    </row>
    <row r="17" spans="1:8" x14ac:dyDescent="0.3">
      <c r="A17" s="64" t="s">
        <v>85</v>
      </c>
      <c r="B17" s="64"/>
      <c r="C17" s="64"/>
      <c r="D17" s="64"/>
      <c r="E17" s="64"/>
      <c r="F17" s="64"/>
      <c r="G17" s="64"/>
      <c r="H17" s="64"/>
    </row>
    <row r="18" spans="1:8" ht="28.8" x14ac:dyDescent="0.3">
      <c r="A18" s="46" t="s">
        <v>50</v>
      </c>
      <c r="B18" s="46" t="s">
        <v>86</v>
      </c>
      <c r="C18" s="46"/>
      <c r="D18" s="46"/>
      <c r="E18" s="46"/>
      <c r="F18" s="46"/>
      <c r="G18" s="46"/>
      <c r="H18" s="46"/>
    </row>
    <row r="19" spans="1:8" ht="28.8" x14ac:dyDescent="0.3">
      <c r="A19" s="46" t="s">
        <v>43</v>
      </c>
      <c r="B19" s="46" t="s">
        <v>87</v>
      </c>
      <c r="C19" s="46"/>
      <c r="D19" s="46"/>
      <c r="E19" s="46"/>
      <c r="F19" s="46"/>
      <c r="G19" s="46"/>
      <c r="H19" s="46"/>
    </row>
    <row r="20" spans="1:8" ht="28.8" x14ac:dyDescent="0.3">
      <c r="A20" s="46" t="s">
        <v>88</v>
      </c>
      <c r="B20" s="46" t="s">
        <v>89</v>
      </c>
      <c r="C20" s="46"/>
      <c r="D20" s="46"/>
      <c r="E20" s="46"/>
      <c r="F20" s="46"/>
      <c r="G20" s="46"/>
      <c r="H20" s="46"/>
    </row>
    <row r="21" spans="1:8" ht="43.2" x14ac:dyDescent="0.3">
      <c r="A21" s="46" t="s">
        <v>90</v>
      </c>
      <c r="B21" s="46" t="s">
        <v>91</v>
      </c>
      <c r="C21" s="46"/>
      <c r="D21" s="46"/>
      <c r="E21" s="46"/>
      <c r="F21" s="46"/>
      <c r="G21" s="46"/>
      <c r="H21" s="46"/>
    </row>
    <row r="22" spans="1:8" x14ac:dyDescent="0.3">
      <c r="A22" s="46" t="s">
        <v>44</v>
      </c>
      <c r="B22" s="46" t="s">
        <v>92</v>
      </c>
      <c r="C22" s="46"/>
      <c r="D22" s="46"/>
      <c r="E22" s="46"/>
      <c r="F22" s="46"/>
      <c r="G22" s="46"/>
      <c r="H22" s="46"/>
    </row>
    <row r="24" spans="1:8" x14ac:dyDescent="0.3">
      <c r="A24" s="64" t="s">
        <v>93</v>
      </c>
      <c r="B24" s="64"/>
      <c r="C24" s="64"/>
      <c r="D24" s="64"/>
      <c r="E24" s="64"/>
      <c r="F24" s="64"/>
      <c r="G24" s="64"/>
      <c r="H24" s="64"/>
    </row>
    <row r="25" spans="1:8" ht="57.6" x14ac:dyDescent="0.3">
      <c r="A25" s="46" t="s">
        <v>94</v>
      </c>
      <c r="B25" s="46"/>
      <c r="C25" s="46"/>
      <c r="D25" s="46"/>
      <c r="E25" s="46"/>
      <c r="F25" s="46"/>
      <c r="G25" s="46"/>
      <c r="H25" s="46"/>
    </row>
    <row r="26" spans="1:8" ht="57.6" x14ac:dyDescent="0.3">
      <c r="A26" s="46" t="s">
        <v>95</v>
      </c>
      <c r="B26" s="46"/>
      <c r="C26" s="46"/>
      <c r="D26" s="46"/>
      <c r="E26" s="46"/>
      <c r="F26" s="46"/>
      <c r="G26" s="46"/>
      <c r="H26" s="46"/>
    </row>
    <row r="27" spans="1:8" ht="57.6" x14ac:dyDescent="0.3">
      <c r="A27" s="46" t="s">
        <v>96</v>
      </c>
      <c r="B27" s="46"/>
      <c r="C27" s="46"/>
      <c r="D27" s="46"/>
      <c r="E27" s="46"/>
      <c r="F27" s="46"/>
      <c r="G27" s="46"/>
      <c r="H27" s="46"/>
    </row>
    <row r="28" spans="1:8" ht="57.6" x14ac:dyDescent="0.3">
      <c r="A28" s="46" t="s">
        <v>97</v>
      </c>
      <c r="B28" s="46"/>
      <c r="C28" s="46"/>
      <c r="D28" s="46"/>
      <c r="E28" s="46"/>
      <c r="F28" s="46"/>
      <c r="G28" s="46"/>
      <c r="H28" s="46"/>
    </row>
    <row r="29" spans="1:8" ht="57.6" x14ac:dyDescent="0.3">
      <c r="A29" s="46" t="s">
        <v>98</v>
      </c>
      <c r="B29" s="46"/>
      <c r="C29" s="46"/>
      <c r="D29" s="46"/>
      <c r="E29" s="46"/>
      <c r="F29" s="46"/>
      <c r="G29" s="46"/>
      <c r="H29" s="46"/>
    </row>
  </sheetData>
  <mergeCells count="5">
    <mergeCell ref="A1:H1"/>
    <mergeCell ref="A3:H3"/>
    <mergeCell ref="A4:H5"/>
    <mergeCell ref="A17:H17"/>
    <mergeCell ref="A24:H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1"/>
  <sheetViews>
    <sheetView showGridLines="0" workbookViewId="0"/>
  </sheetViews>
  <sheetFormatPr defaultRowHeight="14.4" x14ac:dyDescent="0.3"/>
  <cols>
    <col min="1" max="1" width="29.21875" customWidth="1"/>
    <col min="2" max="2" width="11.5546875" customWidth="1"/>
    <col min="3" max="3" width="17.77734375" customWidth="1"/>
    <col min="7" max="7" width="15.33203125" customWidth="1"/>
  </cols>
  <sheetData>
    <row r="2" spans="1:8" x14ac:dyDescent="0.3">
      <c r="A2" s="18" t="s">
        <v>29</v>
      </c>
      <c r="B2" s="18" t="s">
        <v>17</v>
      </c>
      <c r="C2" s="19" t="s">
        <v>20</v>
      </c>
      <c r="D2" s="19" t="s">
        <v>30</v>
      </c>
    </row>
    <row r="3" spans="1:8" x14ac:dyDescent="0.3">
      <c r="A3" t="str">
        <f>B3&amp;"-"&amp;C3</f>
        <v>Conservador-PAPEL</v>
      </c>
      <c r="B3" t="s">
        <v>31</v>
      </c>
      <c r="C3" s="2" t="s">
        <v>23</v>
      </c>
      <c r="D3" s="4">
        <v>0.3</v>
      </c>
      <c r="H3" t="s">
        <v>30</v>
      </c>
    </row>
    <row r="4" spans="1:8" x14ac:dyDescent="0.3">
      <c r="A4" t="str">
        <f t="shared" ref="A4:A20" si="0">B4&amp;"-"&amp;C4</f>
        <v>Conservador-TIJOLO</v>
      </c>
      <c r="B4" t="s">
        <v>31</v>
      </c>
      <c r="C4" s="2" t="s">
        <v>24</v>
      </c>
      <c r="D4" s="4">
        <v>0.5</v>
      </c>
      <c r="G4" s="8" t="s">
        <v>32</v>
      </c>
      <c r="H4" s="17">
        <f>VLOOKUP(G4,$A:$D,4,FALSE)</f>
        <v>0.35</v>
      </c>
    </row>
    <row r="5" spans="1:8" x14ac:dyDescent="0.3">
      <c r="A5" t="str">
        <f t="shared" si="0"/>
        <v>Conservador-HÍBRIDOS</v>
      </c>
      <c r="B5" t="s">
        <v>31</v>
      </c>
      <c r="C5" s="2" t="s">
        <v>25</v>
      </c>
      <c r="D5" s="4">
        <v>0.1</v>
      </c>
    </row>
    <row r="6" spans="1:8" x14ac:dyDescent="0.3">
      <c r="A6" t="str">
        <f t="shared" si="0"/>
        <v>Conservador-FOFs</v>
      </c>
      <c r="B6" t="s">
        <v>31</v>
      </c>
      <c r="C6" s="2" t="s">
        <v>26</v>
      </c>
      <c r="D6" s="4">
        <v>0.1</v>
      </c>
    </row>
    <row r="7" spans="1:8" x14ac:dyDescent="0.3">
      <c r="A7" t="str">
        <f t="shared" si="0"/>
        <v>Conservador-DESENVOLVIMENTO</v>
      </c>
      <c r="B7" t="s">
        <v>31</v>
      </c>
      <c r="C7" s="2" t="s">
        <v>27</v>
      </c>
      <c r="D7" s="4">
        <v>0</v>
      </c>
    </row>
    <row r="8" spans="1:8" x14ac:dyDescent="0.3">
      <c r="A8" s="11" t="str">
        <f t="shared" si="0"/>
        <v>Conservador-HOTELARIAS</v>
      </c>
      <c r="B8" s="11" t="s">
        <v>31</v>
      </c>
      <c r="C8" s="12" t="s">
        <v>28</v>
      </c>
      <c r="D8" s="13">
        <v>0</v>
      </c>
    </row>
    <row r="9" spans="1:8" x14ac:dyDescent="0.3">
      <c r="A9" t="str">
        <f t="shared" si="0"/>
        <v>Moderado-PAPEL</v>
      </c>
      <c r="B9" t="s">
        <v>18</v>
      </c>
      <c r="C9" s="2" t="s">
        <v>23</v>
      </c>
      <c r="D9" s="4">
        <v>0.32</v>
      </c>
    </row>
    <row r="10" spans="1:8" x14ac:dyDescent="0.3">
      <c r="A10" s="14" t="str">
        <f t="shared" si="0"/>
        <v>Moderado-TIJOLO</v>
      </c>
      <c r="B10" s="14" t="s">
        <v>18</v>
      </c>
      <c r="C10" s="15" t="s">
        <v>24</v>
      </c>
      <c r="D10" s="16">
        <v>0.35</v>
      </c>
    </row>
    <row r="11" spans="1:8" x14ac:dyDescent="0.3">
      <c r="A11" t="str">
        <f t="shared" si="0"/>
        <v>Moderado-HÍBRIDOS</v>
      </c>
      <c r="B11" t="s">
        <v>18</v>
      </c>
      <c r="C11" s="2" t="s">
        <v>25</v>
      </c>
      <c r="D11" s="4">
        <v>0.08</v>
      </c>
    </row>
    <row r="12" spans="1:8" x14ac:dyDescent="0.3">
      <c r="A12" t="str">
        <f t="shared" si="0"/>
        <v>Moderado-FOFs</v>
      </c>
      <c r="B12" t="s">
        <v>18</v>
      </c>
      <c r="C12" s="2" t="s">
        <v>26</v>
      </c>
      <c r="D12" s="4">
        <v>0.05</v>
      </c>
    </row>
    <row r="13" spans="1:8" x14ac:dyDescent="0.3">
      <c r="A13" t="str">
        <f t="shared" si="0"/>
        <v>Moderado-DESENVOLVIMENTO</v>
      </c>
      <c r="B13" t="s">
        <v>18</v>
      </c>
      <c r="C13" s="2" t="s">
        <v>27</v>
      </c>
      <c r="D13" s="4">
        <v>0.1</v>
      </c>
    </row>
    <row r="14" spans="1:8" x14ac:dyDescent="0.3">
      <c r="A14" s="11" t="str">
        <f t="shared" si="0"/>
        <v>Moderado-HOTELARIAS</v>
      </c>
      <c r="B14" s="11" t="s">
        <v>18</v>
      </c>
      <c r="C14" s="12" t="s">
        <v>28</v>
      </c>
      <c r="D14" s="13">
        <v>0.1</v>
      </c>
    </row>
    <row r="15" spans="1:8" x14ac:dyDescent="0.3">
      <c r="A15" t="str">
        <f t="shared" si="0"/>
        <v>Agressivo-PAPEL</v>
      </c>
      <c r="B15" t="s">
        <v>33</v>
      </c>
      <c r="C15" s="2" t="s">
        <v>23</v>
      </c>
      <c r="D15" s="4">
        <v>0.5</v>
      </c>
    </row>
    <row r="16" spans="1:8" x14ac:dyDescent="0.3">
      <c r="A16" t="str">
        <f t="shared" si="0"/>
        <v>Agressivo-TIJOLO</v>
      </c>
      <c r="B16" t="s">
        <v>33</v>
      </c>
      <c r="C16" s="2" t="s">
        <v>24</v>
      </c>
      <c r="D16" s="4">
        <v>0.1</v>
      </c>
    </row>
    <row r="17" spans="1:4" x14ac:dyDescent="0.3">
      <c r="A17" t="str">
        <f t="shared" si="0"/>
        <v>Agressivo-HÍBRIDOS</v>
      </c>
      <c r="B17" t="s">
        <v>33</v>
      </c>
      <c r="C17" s="2" t="s">
        <v>25</v>
      </c>
      <c r="D17" s="4">
        <v>0.05</v>
      </c>
    </row>
    <row r="18" spans="1:4" x14ac:dyDescent="0.3">
      <c r="A18" t="str">
        <f t="shared" si="0"/>
        <v>Agressivo-FOFs</v>
      </c>
      <c r="B18" t="s">
        <v>33</v>
      </c>
      <c r="C18" s="2" t="s">
        <v>26</v>
      </c>
      <c r="D18" s="4">
        <v>0.05</v>
      </c>
    </row>
    <row r="19" spans="1:4" x14ac:dyDescent="0.3">
      <c r="A19" t="str">
        <f t="shared" si="0"/>
        <v>Agressivo-DESENVOLVIMENTO</v>
      </c>
      <c r="B19" t="s">
        <v>33</v>
      </c>
      <c r="C19" s="2" t="s">
        <v>27</v>
      </c>
      <c r="D19" s="4">
        <v>0.2</v>
      </c>
    </row>
    <row r="20" spans="1:4" x14ac:dyDescent="0.3">
      <c r="A20" t="str">
        <f t="shared" si="0"/>
        <v>Agressivo-HOTELARIAS</v>
      </c>
      <c r="B20" t="s">
        <v>33</v>
      </c>
      <c r="C20" s="2" t="s">
        <v>28</v>
      </c>
      <c r="D20" s="4">
        <v>0.1</v>
      </c>
    </row>
    <row r="21" spans="1:4" x14ac:dyDescent="0.3">
      <c r="D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7</vt:i4>
      </vt:variant>
    </vt:vector>
  </HeadingPairs>
  <TitlesOfParts>
    <vt:vector size="11" baseType="lpstr">
      <vt:lpstr>APP</vt:lpstr>
      <vt:lpstr>Dashboard</vt:lpstr>
      <vt:lpstr>Metodologia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G</dc:creator>
  <cp:lastModifiedBy>a7979</cp:lastModifiedBy>
  <dcterms:created xsi:type="dcterms:W3CDTF">2026-07-06T14:32:40Z</dcterms:created>
  <dcterms:modified xsi:type="dcterms:W3CDTF">2026-07-06T15:00:52Z</dcterms:modified>
</cp:coreProperties>
</file>